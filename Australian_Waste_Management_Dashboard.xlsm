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iprakumar/Desktop/"/>
    </mc:Choice>
  </mc:AlternateContent>
  <xr:revisionPtr revIDLastSave="0" documentId="13_ncr:20001_{D27515E5-67CF-984A-812B-1209A7961A0B}" xr6:coauthVersionLast="47" xr6:coauthVersionMax="47" xr10:uidLastSave="{00000000-0000-0000-0000-000000000000}"/>
  <bookViews>
    <workbookView xWindow="0" yWindow="740" windowWidth="30240" windowHeight="1890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22" l="1"/>
  <c r="N1" i="22"/>
  <c r="I7" i="22" l="1"/>
  <c r="I9" i="22"/>
  <c r="I11" i="22"/>
  <c r="I5" i="22"/>
  <c r="I12" i="22" l="1"/>
  <c r="I10" i="22"/>
  <c r="I8" i="22"/>
  <c r="I6" i="22"/>
  <c r="E30" i="22" l="1"/>
  <c r="E31" i="22"/>
  <c r="E32" i="22"/>
  <c r="P1" i="22" s="1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<sst xmlns="http://schemas.openxmlformats.org/spreadsheetml/2006/main" count="107" uniqueCount="75">
  <si>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</si>
  <si>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</si>
  <si>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</si>
  <si>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</si>
  <si>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</si>
  <si>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</si>
  <si>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</si>
  <si>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</si>
  <si>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</si>
  <si>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</si>
  <si>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</si>
  <si>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</si>
  <si>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</si>
  <si>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</si>
  <si>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</si>
  <si>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</si>
  <si>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</si>
  <si>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</si>
  <si>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</si>
  <si>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</si>
  <si>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</si>
  <si>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</si>
  <si>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</si>
  <si>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</si>
  <si>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</si>
  <si>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</si>
  <si>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</si>
  <si>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</si>
  <si>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</si>
  <si>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</si>
  <si>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</si>
  <si>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</si>
  <si>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</si>
  <si>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</si>
  <si>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</si>
  <si>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</si>
  <si>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</si>
  <si>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</si>
  <si>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</si>
  <si>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</si>
  <si>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</si>
  <si>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</si>
  <si>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</si>
  <si>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</si>
  <si>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</si>
  <si>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</si>
  <si>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</si>
  <si>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</si>
  <si>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</si>
  <si>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</si>
  <si>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</si>
  <si>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</si>
  <si>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</si>
  <si>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</si>
  <si>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</si>
  <si>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</si>
  <si>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</si>
  <si>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</si>
  <si>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</si>
  <si>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</si>
  <si>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</si>
  <si>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</si>
  <si>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</si>
  <si>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</si>
  <si>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</si>
  <si>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</si>
  <si>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</si>
  <si>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</si>
  <si>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</si>
  <si>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</si>
  <si>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</si>
  <si>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</si>
  <si>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</si>
  <si>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</si>
  <si>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&lt; Select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</si>
</sst>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theme="3" tint="-0.249977111117893"/>
      <name val="Calibri Light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22" fillId="33" borderId="0" xfId="0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0" fontId="20" fillId="33" borderId="0" xfId="0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0" fontId="13" fillId="33" borderId="0" xfId="0" applyFont="1" applyFill="1"/>
    <xf numFmtId="9" fontId="17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0" applyFont="1" applyFill="1"/>
    <xf numFmtId="0" fontId="24" fillId="33" borderId="0" xfId="0" applyFont="1" applyFill="1" applyAlignment="1">
      <alignment vertical="center" wrapText="1"/>
    </xf>
    <xf numFmtId="0" fontId="25" fillId="33" borderId="0" xfId="0" applyFont="1" applyFill="1"/>
    <xf numFmtId="0" fontId="26" fillId="33" borderId="0" xfId="42" applyFont="1" applyFill="1" applyBorder="1"/>
    <xf numFmtId="0" fontId="27" fillId="33" borderId="0" xfId="5" applyFont="1" applyFill="1" applyBorder="1" applyAlignment="1">
      <alignment vertical="center"/>
    </xf>
    <xf numFmtId="9" fontId="28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29" fillId="33" borderId="0" xfId="0" applyFont="1" applyFill="1"/>
    <xf numFmtId="9" fontId="0" fillId="33" borderId="0" xfId="43" applyFont="1" applyFill="1" applyBorder="1" applyAlignment="1"/>
    <xf numFmtId="9" fontId="0" fillId="33" borderId="0" xfId="43" applyFont="1" applyFill="1" applyBorder="1"/>
    <xf numFmtId="0" fontId="30" fillId="34" borderId="0" xfId="0" applyFont="1" applyFill="1" applyAlignment="1">
      <alignment horizontal="center"/>
    </xf>
    <xf numFmtId="0" fontId="16" fillId="35" borderId="0" xfId="43" applyNumberFormat="1" applyFont="1" applyFill="1" applyBorder="1"/>
    <xf numFmtId="0" fontId="31" fillId="33" borderId="0" xfId="1" applyFont="1" applyFill="1" applyBorder="1" applyAlignment="1">
      <alignment vertical="center"/>
    </xf>
    <xf numFmtId="0" fontId="31" fillId="0" borderId="0" xfId="1" applyFont="1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137160</xdr:colOff>
      <xdr:row>24</xdr:row>
      <xdr:rowOff>68580</xdr:rowOff>
    </xdr:from>
    <xdr:to>
      <xdr:col>13</xdr:col>
      <xdr:colOff>365760</xdr:colOff>
      <xdr:row>25</xdr:row>
      <xdr:rowOff>167640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B0FF906B-943D-48E9-91DC-1CBABB79FABE}"/>
            </a:ext>
          </a:extLst>
        </xdr:cNvPr>
        <xdr:cNvSpPr/>
      </xdr:nvSpPr>
      <xdr:spPr>
        <a:xfrm>
          <a:off x="8938260" y="4625340"/>
          <a:ext cx="967740" cy="2819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83AE6AC-347A-47B3-B932-7C276C5F05F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US" sz="1100"/>
        </a:p>
      </xdr:txBody>
    </xdr:sp>
    <xdr:clientData/>
  </xdr:twoCellAnchor>
  <xdr:twoCellAnchor>
    <xdr:from>
      <xdr:col>13</xdr:col>
      <xdr:colOff>495300</xdr:colOff>
      <xdr:row>24</xdr:row>
      <xdr:rowOff>68580</xdr:rowOff>
    </xdr:from>
    <xdr:to>
      <xdr:col>14</xdr:col>
      <xdr:colOff>723900</xdr:colOff>
      <xdr:row>25</xdr:row>
      <xdr:rowOff>167640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4386FD8F-EA12-4476-9B4C-5DB973758948}"/>
            </a:ext>
          </a:extLst>
        </xdr:cNvPr>
        <xdr:cNvSpPr/>
      </xdr:nvSpPr>
      <xdr:spPr>
        <a:xfrm>
          <a:off x="10035540" y="4625340"/>
          <a:ext cx="967740" cy="2819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1234025-69E0-40B8-93D3-9FE02C79D893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53%</a:t>
          </a:fld>
          <a:endParaRPr lang="en-US" sz="1100"/>
        </a:p>
      </xdr:txBody>
    </xdr:sp>
    <xdr:clientData/>
  </xdr:twoCellAnchor>
  <xdr:twoCellAnchor>
    <xdr:from>
      <xdr:col>14</xdr:col>
      <xdr:colOff>853440</xdr:colOff>
      <xdr:row>24</xdr:row>
      <xdr:rowOff>68580</xdr:rowOff>
    </xdr:from>
    <xdr:to>
      <xdr:col>15</xdr:col>
      <xdr:colOff>731520</xdr:colOff>
      <xdr:row>25</xdr:row>
      <xdr:rowOff>167640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E74CAAE5-DD9B-4F9C-A4C1-0953612895BF}"/>
            </a:ext>
          </a:extLst>
        </xdr:cNvPr>
        <xdr:cNvSpPr/>
      </xdr:nvSpPr>
      <xdr:spPr>
        <a:xfrm>
          <a:off x="11132820" y="4625340"/>
          <a:ext cx="967740" cy="2819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579F1A1-7939-461C-A3FD-8726492D445F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43%</a:t>
          </a:fld>
          <a:endParaRPr lang="en-US" sz="1100"/>
        </a:p>
      </xdr:txBody>
    </xdr:sp>
    <xdr:clientData/>
  </xdr:twoCellAnchor>
  <xdr:twoCellAnchor editAs="oneCell">
    <xdr:from>
      <xdr:col>15</xdr:col>
      <xdr:colOff>381000</xdr:colOff>
      <xdr:row>23</xdr:row>
      <xdr:rowOff>35700</xdr:rowOff>
    </xdr:from>
    <xdr:to>
      <xdr:col>15</xdr:col>
      <xdr:colOff>746760</xdr:colOff>
      <xdr:row>25</xdr:row>
      <xdr:rowOff>35700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AA0A60-A233-4676-9400-DCB6CE6DA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0040" y="440958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13</xdr:col>
      <xdr:colOff>50940</xdr:colOff>
      <xdr:row>23</xdr:row>
      <xdr:rowOff>35700</xdr:rowOff>
    </xdr:from>
    <xdr:to>
      <xdr:col>13</xdr:col>
      <xdr:colOff>416700</xdr:colOff>
      <xdr:row>25</xdr:row>
      <xdr:rowOff>35700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B40B9DB-2BFC-4473-9EFE-F44BF6070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1180" y="440958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14</xdr:col>
      <xdr:colOff>421920</xdr:colOff>
      <xdr:row>23</xdr:row>
      <xdr:rowOff>35700</xdr:rowOff>
    </xdr:from>
    <xdr:to>
      <xdr:col>14</xdr:col>
      <xdr:colOff>787680</xdr:colOff>
      <xdr:row>25</xdr:row>
      <xdr:rowOff>35700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2DB565C-B944-49E5-BD81-793CE0E7B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1300" y="4409580"/>
          <a:ext cx="365760" cy="3657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H44" sqref="H44"/>
    </sheetView>
  </sheetViews>
  <sheetFormatPr baseColWidth="10" defaultColWidth="9.1640625" defaultRowHeight="14.75" customHeight="1" x14ac:dyDescent="0.2"/>
  <cols>
    <col min="1" max="1" width="1.1640625" style="6" customWidth="1"/>
    <col min="2" max="2" width="14.1640625" style="22" customWidth="1"/>
    <col min="3" max="9" width="13.1640625" style="2" customWidth="1"/>
    <col min="10" max="10" width="5.1640625" style="4" customWidth="1"/>
    <col min="11" max="11" width="12.1640625" style="2" customWidth="1"/>
    <col min="12" max="12" width="3.83203125" style="1" customWidth="1"/>
    <col min="13" max="14" width="10.83203125" style="1" customWidth="1"/>
    <col min="15" max="16" width="15.83203125" style="1" customWidth="1"/>
    <col min="17" max="19" width="10.83203125" style="1" customWidth="1"/>
    <col min="20" max="21" width="10.83203125" style="10" hidden="1" customWidth="1"/>
    <col min="22" max="24" width="10.83203125" style="1" customWidth="1"/>
    <col min="25" max="28" width="6.83203125" style="1" customWidth="1"/>
    <col min="29" max="16384" width="9.1640625" style="1"/>
  </cols>
  <sheetData>
    <row r="1" spans="1:21" s="8" customFormat="1" ht="28" customHeight="1" x14ac:dyDescent="0.25">
      <c r="A1" s="6"/>
      <c r="B1" s="35" t="s">
        <v>73</v>
      </c>
      <c r="C1" s="35"/>
      <c r="D1" s="35"/>
      <c r="E1" s="35"/>
      <c r="F1" s="35"/>
      <c r="G1" s="34"/>
      <c r="H1" s="2"/>
      <c r="I1" s="7"/>
      <c r="J1" s="20"/>
      <c r="K1" s="32" t="s">
        <v>5</v>
      </c>
      <c r="L1" s="1"/>
      <c r="M1" s="33" t="s">
        <v>74</v>
      </c>
      <c r="N1" s="30">
        <f>VLOOKUP(K1,B29:E36,2,0)</f>
        <v>0.04</v>
      </c>
      <c r="O1" s="31">
        <f>VLOOKUP(K1,B29:E36,3,0)</f>
        <v>0.53</v>
      </c>
      <c r="P1" s="31">
        <f>VLOOKUP(K1,B29:E36,4,0)</f>
        <v>0.42999999999999994</v>
      </c>
      <c r="Q1" s="29"/>
      <c r="T1" s="9"/>
      <c r="U1" s="9"/>
    </row>
    <row r="2" spans="1:21" ht="14.75" customHeight="1" x14ac:dyDescent="0.2">
      <c r="I2" s="28"/>
      <c r="M2" s="2"/>
      <c r="O2" s="2"/>
    </row>
    <row r="3" spans="1:21" ht="14.75" customHeight="1" x14ac:dyDescent="0.2">
      <c r="B3" s="26" t="s">
        <v>8</v>
      </c>
      <c r="I3" s="28"/>
      <c r="M3" s="2"/>
      <c r="N3" s="2"/>
      <c r="O3" s="2"/>
      <c r="T3" s="11" t="s">
        <v>17</v>
      </c>
      <c r="U3" s="11" t="s">
        <v>45</v>
      </c>
    </row>
    <row r="4" spans="1:21" ht="14.75" customHeight="1" x14ac:dyDescent="0.2">
      <c r="B4" s="18" t="s">
        <v>9</v>
      </c>
      <c r="C4" s="19">
        <v>2007</v>
      </c>
      <c r="D4" s="19">
        <v>2009</v>
      </c>
      <c r="E4" s="19">
        <v>2011</v>
      </c>
      <c r="F4" s="19">
        <v>2013</v>
      </c>
      <c r="G4" s="19">
        <v>2015</v>
      </c>
      <c r="H4" s="19">
        <v>2017</v>
      </c>
      <c r="I4" s="19" t="s">
        <v>0</v>
      </c>
      <c r="J4" s="12"/>
      <c r="T4" s="11" t="s">
        <v>18</v>
      </c>
      <c r="U4" s="11" t="s">
        <v>46</v>
      </c>
    </row>
    <row r="5" spans="1:21" ht="14.75" customHeight="1" x14ac:dyDescent="0.2">
      <c r="B5" s="23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2"/>
      <c r="K5" s="12"/>
      <c r="T5" s="11" t="s">
        <v>19</v>
      </c>
      <c r="U5" s="11" t="s">
        <v>47</v>
      </c>
    </row>
    <row r="6" spans="1:21" ht="14.75" customHeight="1" x14ac:dyDescent="0.2">
      <c r="B6" s="23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2"/>
      <c r="K6" s="12"/>
      <c r="T6" s="11" t="s">
        <v>20</v>
      </c>
      <c r="U6" s="11" t="s">
        <v>48</v>
      </c>
    </row>
    <row r="7" spans="1:21" ht="14.75" customHeight="1" x14ac:dyDescent="0.2">
      <c r="B7" s="23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2"/>
      <c r="K7" s="12"/>
      <c r="T7" s="11" t="s">
        <v>21</v>
      </c>
      <c r="U7" s="11" t="s">
        <v>49</v>
      </c>
    </row>
    <row r="8" spans="1:21" ht="14.75" customHeight="1" x14ac:dyDescent="0.2">
      <c r="B8" s="23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2"/>
      <c r="K8" s="12"/>
      <c r="T8" s="11" t="s">
        <v>22</v>
      </c>
      <c r="U8" s="11" t="s">
        <v>50</v>
      </c>
    </row>
    <row r="9" spans="1:21" ht="14.75" customHeight="1" x14ac:dyDescent="0.2">
      <c r="B9" s="23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2"/>
      <c r="K9" s="12"/>
      <c r="N9" s="10"/>
      <c r="O9" s="10"/>
      <c r="P9" s="10"/>
      <c r="Q9" s="10"/>
      <c r="T9" s="11" t="s">
        <v>23</v>
      </c>
      <c r="U9" s="11" t="s">
        <v>51</v>
      </c>
    </row>
    <row r="10" spans="1:21" ht="14.75" customHeight="1" x14ac:dyDescent="0.2">
      <c r="B10" s="23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2"/>
      <c r="K10" s="12"/>
      <c r="N10" s="10"/>
      <c r="O10" s="4" t="s">
        <v>3</v>
      </c>
      <c r="P10" s="4" t="s">
        <v>10</v>
      </c>
      <c r="Q10" s="10"/>
      <c r="T10" s="11" t="s">
        <v>24</v>
      </c>
      <c r="U10" s="11" t="s">
        <v>52</v>
      </c>
    </row>
    <row r="11" spans="1:21" ht="14.75" customHeight="1" x14ac:dyDescent="0.2">
      <c r="B11" s="23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2"/>
      <c r="K11" s="12"/>
      <c r="N11" s="10"/>
      <c r="O11" s="13"/>
      <c r="P11" s="13"/>
      <c r="Q11" s="10"/>
      <c r="T11" s="11" t="s">
        <v>25</v>
      </c>
      <c r="U11" s="11" t="s">
        <v>53</v>
      </c>
    </row>
    <row r="12" spans="1:21" ht="14.75" customHeight="1" x14ac:dyDescent="0.2">
      <c r="B12" s="23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2"/>
      <c r="K12" s="12"/>
      <c r="N12" s="10"/>
      <c r="O12" s="10"/>
      <c r="P12" s="10"/>
      <c r="Q12" s="10"/>
      <c r="T12" s="11" t="s">
        <v>26</v>
      </c>
      <c r="U12" s="11" t="s">
        <v>54</v>
      </c>
    </row>
    <row r="13" spans="1:21" ht="14.75" customHeight="1" x14ac:dyDescent="0.2">
      <c r="N13" s="4" t="s">
        <v>5</v>
      </c>
      <c r="O13" s="10"/>
      <c r="P13" s="10"/>
      <c r="Q13" s="10"/>
      <c r="T13" s="11" t="s">
        <v>27</v>
      </c>
      <c r="U13" s="11" t="s">
        <v>55</v>
      </c>
    </row>
    <row r="14" spans="1:21" ht="14.75" customHeight="1" x14ac:dyDescent="0.2">
      <c r="N14" s="13" t="s">
        <v>5</v>
      </c>
      <c r="O14" s="10"/>
      <c r="P14" s="10"/>
      <c r="Q14" s="10"/>
      <c r="T14" s="11" t="s">
        <v>28</v>
      </c>
      <c r="U14" s="11" t="s">
        <v>56</v>
      </c>
    </row>
    <row r="15" spans="1:21" ht="14.75" customHeight="1" x14ac:dyDescent="0.2">
      <c r="B15" s="26" t="s">
        <v>7</v>
      </c>
      <c r="N15" s="13"/>
      <c r="O15" s="4" t="s">
        <v>4</v>
      </c>
      <c r="P15" s="10"/>
      <c r="Q15" s="10"/>
      <c r="T15" s="11" t="s">
        <v>29</v>
      </c>
      <c r="U15" s="11" t="s">
        <v>57</v>
      </c>
    </row>
    <row r="16" spans="1:21" ht="14.75" customHeight="1" x14ac:dyDescent="0.2">
      <c r="B16" s="18" t="s">
        <v>9</v>
      </c>
      <c r="C16" s="19">
        <v>2007</v>
      </c>
      <c r="D16" s="19">
        <v>2009</v>
      </c>
      <c r="E16" s="19">
        <v>2011</v>
      </c>
      <c r="F16" s="19">
        <v>2013</v>
      </c>
      <c r="G16" s="19">
        <v>2015</v>
      </c>
      <c r="H16" s="19">
        <v>2017</v>
      </c>
      <c r="I16" s="19" t="s">
        <v>0</v>
      </c>
      <c r="J16" s="12"/>
      <c r="K16" s="12"/>
      <c r="N16" s="10"/>
      <c r="O16" s="13" t="s">
        <v>4</v>
      </c>
      <c r="P16" s="10"/>
      <c r="Q16" s="10"/>
      <c r="T16" s="11" t="s">
        <v>30</v>
      </c>
      <c r="U16" s="11" t="s">
        <v>58</v>
      </c>
    </row>
    <row r="17" spans="1:21" ht="14.75" customHeight="1" x14ac:dyDescent="0.2">
      <c r="B17" s="23" t="s">
        <v>1</v>
      </c>
      <c r="C17" s="27">
        <v>0.76</v>
      </c>
      <c r="D17" s="27">
        <v>0.77</v>
      </c>
      <c r="E17" s="27">
        <v>0.76</v>
      </c>
      <c r="F17" s="27">
        <v>0.74</v>
      </c>
      <c r="G17" s="27">
        <v>0.72</v>
      </c>
      <c r="H17" s="27">
        <v>0.53</v>
      </c>
      <c r="I17" s="3">
        <f t="shared" ref="I17:I24" si="1">(H17/C17)^(1/10)-1</f>
        <v>-3.5402287378497377E-2</v>
      </c>
      <c r="J17" s="3">
        <f>I17</f>
        <v>-3.5402287378497377E-2</v>
      </c>
      <c r="K17" s="12"/>
      <c r="N17" s="10"/>
      <c r="O17" s="13"/>
      <c r="P17" s="4" t="s">
        <v>2</v>
      </c>
      <c r="Q17" s="10"/>
      <c r="T17" s="11" t="s">
        <v>31</v>
      </c>
      <c r="U17" s="11" t="s">
        <v>59</v>
      </c>
    </row>
    <row r="18" spans="1:21" ht="14.75" customHeight="1" x14ac:dyDescent="0.2">
      <c r="B18" s="23" t="s">
        <v>2</v>
      </c>
      <c r="C18" s="27">
        <v>0.62</v>
      </c>
      <c r="D18" s="27">
        <v>0.6</v>
      </c>
      <c r="E18" s="27">
        <v>0.65</v>
      </c>
      <c r="F18" s="27">
        <v>0.66</v>
      </c>
      <c r="G18" s="27">
        <v>0.64</v>
      </c>
      <c r="H18" s="27">
        <v>0.62</v>
      </c>
      <c r="I18" s="3">
        <f t="shared" si="1"/>
        <v>0</v>
      </c>
      <c r="J18" s="3">
        <f t="shared" ref="J18:J24" si="2">I18</f>
        <v>0</v>
      </c>
      <c r="K18" s="12"/>
      <c r="N18" s="10"/>
      <c r="O18" s="10"/>
      <c r="P18" s="13"/>
      <c r="Q18" s="10"/>
      <c r="T18" s="11" t="s">
        <v>32</v>
      </c>
      <c r="U18" s="11" t="s">
        <v>60</v>
      </c>
    </row>
    <row r="19" spans="1:21" ht="14.75" customHeight="1" x14ac:dyDescent="0.2">
      <c r="B19" s="23" t="s">
        <v>3</v>
      </c>
      <c r="C19" s="27">
        <v>0.12</v>
      </c>
      <c r="D19" s="27">
        <v>0.19</v>
      </c>
      <c r="E19" s="27">
        <v>0.17</v>
      </c>
      <c r="F19" s="27">
        <v>0.22</v>
      </c>
      <c r="G19" s="27">
        <v>0.2</v>
      </c>
      <c r="H19" s="27">
        <v>0.15</v>
      </c>
      <c r="I19" s="3">
        <f t="shared" si="1"/>
        <v>2.2565182563572872E-2</v>
      </c>
      <c r="J19" s="3">
        <f t="shared" si="2"/>
        <v>2.2565182563572872E-2</v>
      </c>
      <c r="K19" s="12"/>
      <c r="N19" s="10"/>
      <c r="O19" s="10"/>
      <c r="P19" s="10"/>
      <c r="Q19" s="4" t="s">
        <v>1</v>
      </c>
      <c r="T19" s="11" t="s">
        <v>33</v>
      </c>
      <c r="U19" s="11" t="s">
        <v>61</v>
      </c>
    </row>
    <row r="20" spans="1:21" ht="14.75" customHeight="1" x14ac:dyDescent="0.2">
      <c r="B20" s="23" t="s">
        <v>10</v>
      </c>
      <c r="C20" s="27">
        <v>0.48</v>
      </c>
      <c r="D20" s="27">
        <v>0.46</v>
      </c>
      <c r="E20" s="27">
        <v>0.5</v>
      </c>
      <c r="F20" s="27">
        <v>0.47</v>
      </c>
      <c r="G20" s="27">
        <v>0.48</v>
      </c>
      <c r="H20" s="27">
        <v>0.47</v>
      </c>
      <c r="I20" s="3">
        <f t="shared" si="1"/>
        <v>-2.1031262440773801E-3</v>
      </c>
      <c r="J20" s="3">
        <f t="shared" si="2"/>
        <v>-2.1031262440773801E-3</v>
      </c>
      <c r="K20" s="12"/>
      <c r="N20" s="10"/>
      <c r="O20" s="10"/>
      <c r="P20" s="10"/>
      <c r="Q20" s="13" t="s">
        <v>1</v>
      </c>
      <c r="T20" s="11" t="s">
        <v>34</v>
      </c>
      <c r="U20" s="11" t="s">
        <v>62</v>
      </c>
    </row>
    <row r="21" spans="1:21" ht="14.75" customHeight="1" x14ac:dyDescent="0.2">
      <c r="B21" s="23" t="s">
        <v>4</v>
      </c>
      <c r="C21" s="27">
        <v>0.79</v>
      </c>
      <c r="D21" s="27">
        <v>0.8</v>
      </c>
      <c r="E21" s="27">
        <v>0.82</v>
      </c>
      <c r="F21" s="27">
        <v>0.83</v>
      </c>
      <c r="G21" s="27">
        <v>0.82</v>
      </c>
      <c r="H21" s="27">
        <v>0.82</v>
      </c>
      <c r="I21" s="3">
        <f t="shared" si="1"/>
        <v>3.7340939014227637E-3</v>
      </c>
      <c r="J21" s="3">
        <f t="shared" si="2"/>
        <v>3.7340939014227637E-3</v>
      </c>
      <c r="K21" s="12"/>
      <c r="N21" s="10"/>
      <c r="O21" s="10"/>
      <c r="P21" s="4" t="s">
        <v>12</v>
      </c>
      <c r="Q21" s="13"/>
      <c r="T21" s="11" t="s">
        <v>35</v>
      </c>
      <c r="U21" s="11" t="s">
        <v>63</v>
      </c>
    </row>
    <row r="22" spans="1:21" ht="14.75" customHeight="1" x14ac:dyDescent="0.2">
      <c r="B22" s="23" t="s">
        <v>11</v>
      </c>
      <c r="C22" s="27">
        <v>0.4</v>
      </c>
      <c r="D22" s="27">
        <v>0.46</v>
      </c>
      <c r="E22" s="27">
        <v>0.46</v>
      </c>
      <c r="F22" s="27">
        <v>0.48</v>
      </c>
      <c r="G22" s="27">
        <v>0.53</v>
      </c>
      <c r="H22" s="27">
        <v>0.53</v>
      </c>
      <c r="I22" s="3">
        <f t="shared" si="1"/>
        <v>2.8540951399434356E-2</v>
      </c>
      <c r="J22" s="3">
        <f t="shared" si="2"/>
        <v>2.8540951399434356E-2</v>
      </c>
      <c r="K22" s="12"/>
      <c r="N22" s="10"/>
      <c r="O22" s="10"/>
      <c r="P22" s="13"/>
      <c r="Q22" s="10"/>
      <c r="T22" s="11" t="s">
        <v>36</v>
      </c>
      <c r="U22" s="11" t="s">
        <v>64</v>
      </c>
    </row>
    <row r="23" spans="1:21" ht="14.75" customHeight="1" x14ac:dyDescent="0.2">
      <c r="B23" s="23" t="s">
        <v>12</v>
      </c>
      <c r="C23" s="27">
        <v>0.57999999999999996</v>
      </c>
      <c r="D23" s="27">
        <v>0.61</v>
      </c>
      <c r="E23" s="27">
        <v>0.65</v>
      </c>
      <c r="F23" s="27">
        <v>0.7</v>
      </c>
      <c r="G23" s="27">
        <v>0.73</v>
      </c>
      <c r="H23" s="27">
        <v>0.72</v>
      </c>
      <c r="I23" s="3">
        <f t="shared" si="1"/>
        <v>2.1857766983182536E-2</v>
      </c>
      <c r="J23" s="3">
        <f t="shared" si="2"/>
        <v>2.1857766983182536E-2</v>
      </c>
      <c r="K23" s="12"/>
      <c r="N23" s="10"/>
      <c r="O23" s="10"/>
      <c r="P23" s="13"/>
      <c r="Q23" s="10"/>
      <c r="T23" s="11" t="s">
        <v>37</v>
      </c>
      <c r="U23" s="11" t="s">
        <v>65</v>
      </c>
    </row>
    <row r="24" spans="1:21" ht="14.75" customHeight="1" x14ac:dyDescent="0.2">
      <c r="B24" s="23" t="s">
        <v>5</v>
      </c>
      <c r="C24" s="27">
        <v>0.35</v>
      </c>
      <c r="D24" s="27">
        <v>0.35</v>
      </c>
      <c r="E24" s="27">
        <v>0.41</v>
      </c>
      <c r="F24" s="27">
        <v>0.48</v>
      </c>
      <c r="G24" s="27">
        <v>0.53</v>
      </c>
      <c r="H24" s="27">
        <v>0.56999999999999995</v>
      </c>
      <c r="I24" s="3">
        <f t="shared" si="1"/>
        <v>4.9979164495061346E-2</v>
      </c>
      <c r="J24" s="3">
        <f t="shared" si="2"/>
        <v>4.9979164495061346E-2</v>
      </c>
      <c r="K24" s="12"/>
      <c r="N24" s="10"/>
      <c r="O24" s="10"/>
      <c r="P24" s="4" t="s">
        <v>11</v>
      </c>
      <c r="Q24" s="10"/>
      <c r="T24" s="11" t="s">
        <v>38</v>
      </c>
      <c r="U24" s="11" t="s">
        <v>66</v>
      </c>
    </row>
    <row r="25" spans="1:21" ht="14.75" customHeight="1" x14ac:dyDescent="0.2">
      <c r="C25" s="5"/>
      <c r="D25" s="5"/>
      <c r="E25" s="5"/>
      <c r="F25" s="5"/>
      <c r="G25" s="5"/>
      <c r="H25" s="5"/>
      <c r="I25" s="14"/>
      <c r="N25" s="10"/>
      <c r="O25" s="4"/>
      <c r="P25" s="13" t="s">
        <v>11</v>
      </c>
      <c r="Q25" s="10"/>
      <c r="T25" s="11" t="s">
        <v>39</v>
      </c>
      <c r="U25" s="11" t="s">
        <v>67</v>
      </c>
    </row>
    <row r="26" spans="1:21" s="2" customFormat="1" ht="14.75" customHeight="1" x14ac:dyDescent="0.2">
      <c r="A26" s="6"/>
      <c r="B26" s="24"/>
      <c r="J26" s="4"/>
      <c r="N26" s="4"/>
      <c r="O26" s="4"/>
      <c r="P26" s="13"/>
      <c r="Q26" s="4"/>
      <c r="T26" s="11" t="s">
        <v>40</v>
      </c>
      <c r="U26" s="11" t="s">
        <v>68</v>
      </c>
    </row>
    <row r="27" spans="1:21" ht="14.75" customHeight="1" x14ac:dyDescent="0.2">
      <c r="B27" s="26" t="s">
        <v>13</v>
      </c>
      <c r="J27" s="21"/>
      <c r="T27" s="11" t="s">
        <v>41</v>
      </c>
      <c r="U27" s="11" t="s">
        <v>69</v>
      </c>
    </row>
    <row r="28" spans="1:21" ht="14.75" customHeight="1" x14ac:dyDescent="0.2">
      <c r="B28" s="18" t="s">
        <v>9</v>
      </c>
      <c r="C28" s="19" t="s">
        <v>15</v>
      </c>
      <c r="D28" s="19" t="s">
        <v>16</v>
      </c>
      <c r="E28" s="19" t="s">
        <v>14</v>
      </c>
      <c r="F28" s="15"/>
      <c r="G28" s="15"/>
      <c r="H28" s="15"/>
      <c r="I28" s="15"/>
      <c r="J28" s="21"/>
      <c r="K28" s="15"/>
      <c r="T28" s="11" t="s">
        <v>42</v>
      </c>
      <c r="U28" s="11" t="s">
        <v>70</v>
      </c>
    </row>
    <row r="29" spans="1:21" ht="14.75" customHeight="1" x14ac:dyDescent="0.2">
      <c r="B29" s="23" t="s">
        <v>1</v>
      </c>
      <c r="C29" s="16">
        <v>0.04</v>
      </c>
      <c r="D29" s="16">
        <v>0.49</v>
      </c>
      <c r="E29" s="16">
        <f t="shared" ref="E29:E36" si="3">1-(C29+D29)</f>
        <v>0.47</v>
      </c>
      <c r="F29" s="15"/>
      <c r="G29" s="15"/>
      <c r="H29" s="15"/>
      <c r="I29" s="15"/>
      <c r="J29" s="21"/>
      <c r="K29" s="15"/>
      <c r="T29" s="11" t="s">
        <v>43</v>
      </c>
      <c r="U29" s="11" t="s">
        <v>71</v>
      </c>
    </row>
    <row r="30" spans="1:21" ht="14.75" customHeight="1" x14ac:dyDescent="0.2">
      <c r="B30" s="23" t="s">
        <v>2</v>
      </c>
      <c r="C30" s="16">
        <v>0.04</v>
      </c>
      <c r="D30" s="16">
        <v>0.59</v>
      </c>
      <c r="E30" s="16">
        <f t="shared" si="3"/>
        <v>0.37</v>
      </c>
      <c r="F30" s="15"/>
      <c r="G30" s="15"/>
      <c r="H30" s="15"/>
      <c r="I30" s="15"/>
      <c r="J30" s="21"/>
      <c r="K30" s="15"/>
      <c r="T30" s="11" t="s">
        <v>44</v>
      </c>
      <c r="U30" s="11" t="s">
        <v>72</v>
      </c>
    </row>
    <row r="31" spans="1:21" ht="14.75" customHeight="1" x14ac:dyDescent="0.2">
      <c r="B31" s="23" t="s">
        <v>3</v>
      </c>
      <c r="C31" s="16">
        <v>0.04</v>
      </c>
      <c r="D31" s="16">
        <v>0.11</v>
      </c>
      <c r="E31" s="16">
        <f t="shared" si="3"/>
        <v>0.85</v>
      </c>
      <c r="F31" s="15"/>
      <c r="G31" s="15"/>
      <c r="H31" s="15"/>
      <c r="I31" s="15"/>
      <c r="J31" s="21"/>
      <c r="K31" s="15"/>
    </row>
    <row r="32" spans="1:21" ht="14.75" customHeight="1" x14ac:dyDescent="0.2">
      <c r="B32" s="23" t="s">
        <v>10</v>
      </c>
      <c r="C32" s="16">
        <v>0.03</v>
      </c>
      <c r="D32" s="16">
        <v>0.44</v>
      </c>
      <c r="E32" s="16">
        <f t="shared" si="3"/>
        <v>0.53</v>
      </c>
      <c r="F32" s="15"/>
      <c r="G32" s="15"/>
      <c r="H32" s="15"/>
      <c r="I32" s="15"/>
      <c r="J32" s="21"/>
      <c r="K32" s="15"/>
    </row>
    <row r="33" spans="2:11" ht="14.75" customHeight="1" x14ac:dyDescent="0.2">
      <c r="B33" s="23" t="s">
        <v>4</v>
      </c>
      <c r="C33" s="16">
        <v>0.04</v>
      </c>
      <c r="D33" s="16">
        <v>0.78</v>
      </c>
      <c r="E33" s="16">
        <f t="shared" si="3"/>
        <v>0.17999999999999994</v>
      </c>
      <c r="F33" s="15"/>
      <c r="G33" s="15"/>
      <c r="H33" s="15"/>
      <c r="I33" s="15"/>
      <c r="K33" s="15"/>
    </row>
    <row r="34" spans="2:11" ht="14.75" customHeight="1" x14ac:dyDescent="0.2">
      <c r="B34" s="23" t="s">
        <v>11</v>
      </c>
      <c r="C34" s="16">
        <v>0.04</v>
      </c>
      <c r="D34" s="16">
        <v>0.49</v>
      </c>
      <c r="E34" s="16">
        <f t="shared" si="3"/>
        <v>0.47</v>
      </c>
    </row>
    <row r="35" spans="2:11" ht="14.75" customHeight="1" x14ac:dyDescent="0.2">
      <c r="B35" s="23" t="s">
        <v>12</v>
      </c>
      <c r="C35" s="16">
        <v>0.04</v>
      </c>
      <c r="D35" s="16">
        <v>0.68</v>
      </c>
      <c r="E35" s="16">
        <f t="shared" si="3"/>
        <v>0.27999999999999992</v>
      </c>
    </row>
    <row r="36" spans="2:11" ht="14.75" customHeight="1" x14ac:dyDescent="0.2">
      <c r="B36" s="23" t="s">
        <v>5</v>
      </c>
      <c r="C36" s="16">
        <v>0.04</v>
      </c>
      <c r="D36" s="16">
        <v>0.53</v>
      </c>
      <c r="E36" s="16">
        <f t="shared" si="3"/>
        <v>0.42999999999999994</v>
      </c>
    </row>
    <row r="37" spans="2:11" ht="14.75" customHeight="1" x14ac:dyDescent="0.2">
      <c r="C37" s="17"/>
      <c r="D37" s="17"/>
      <c r="E37" s="17"/>
    </row>
    <row r="38" spans="2:11" ht="14.75" customHeight="1" x14ac:dyDescent="0.2">
      <c r="C38" s="17"/>
      <c r="D38" s="17"/>
      <c r="E38" s="17"/>
    </row>
    <row r="39" spans="2:11" ht="14.75" customHeight="1" x14ac:dyDescent="0.2">
      <c r="B39" s="24"/>
    </row>
    <row r="42" spans="2:11" ht="14.75" customHeight="1" x14ac:dyDescent="0.2">
      <c r="B42" s="24"/>
      <c r="J42" s="12"/>
    </row>
    <row r="43" spans="2:11" ht="14.75" customHeight="1" x14ac:dyDescent="0.2">
      <c r="B43" s="24"/>
      <c r="F43" s="12"/>
      <c r="G43" s="12"/>
      <c r="H43" s="12"/>
      <c r="I43" s="12"/>
      <c r="K43" s="12"/>
    </row>
    <row r="44" spans="2:11" ht="14.75" customHeight="1" x14ac:dyDescent="0.2">
      <c r="B44" s="24"/>
    </row>
    <row r="45" spans="2:11" ht="14.75" customHeight="1" x14ac:dyDescent="0.2">
      <c r="B45" s="24"/>
    </row>
    <row r="46" spans="2:11" ht="14.75" customHeight="1" x14ac:dyDescent="0.2">
      <c r="B46" s="24"/>
    </row>
    <row r="47" spans="2:11" ht="14.75" customHeight="1" x14ac:dyDescent="0.2">
      <c r="B47" s="24"/>
    </row>
    <row r="49" spans="2:5" ht="14.75" customHeight="1" x14ac:dyDescent="0.2">
      <c r="B49" s="24"/>
    </row>
    <row r="50" spans="2:5" ht="14.75" customHeight="1" x14ac:dyDescent="0.2">
      <c r="B50" s="24"/>
    </row>
    <row r="51" spans="2:5" ht="14.75" customHeight="1" x14ac:dyDescent="0.2">
      <c r="B51" s="24"/>
    </row>
    <row r="52" spans="2:5" ht="14.75" customHeight="1" x14ac:dyDescent="0.2">
      <c r="C52" s="17"/>
      <c r="D52" s="17"/>
      <c r="E52" s="17"/>
    </row>
    <row r="63" spans="2:5" ht="14.75" customHeight="1" x14ac:dyDescent="0.2">
      <c r="B63" s="25" t="s">
        <v>6</v>
      </c>
    </row>
  </sheetData>
  <mergeCells count="1">
    <mergeCell ref="B1:F1"/>
  </mergeCells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  <x14:sparklineGroup type="column" displayEmptyCellsAs="gap" high="1" xr2:uid="{9F82ECA6-5689-4D98-A6EB-DD1CE921E9BF}">
          <x14:colorSeries theme="6"/>
          <x14:colorNegative rgb="FFD00000"/>
          <x14:colorAxis rgb="FF000000"/>
          <x14:colorMarkers rgb="FFD00000"/>
          <x14:colorFirst rgb="FFD00000"/>
          <x14:colorLast rgb="FFD00000"/>
          <x14:colorHigh rgb="FFFF0000"/>
          <x14:colorLow rgb="FFD00000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displayEmptyCellsAs="gap" high="1" xr2:uid="{1E10AE7A-1486-4EE9-A64D-36E8657F1498}">
          <x14:colorSeries theme="8"/>
          <x14:colorNegative rgb="FFD00000"/>
          <x14:colorAxis rgb="FF000000"/>
          <x14:colorMarkers rgb="FFD00000"/>
          <x14:colorFirst rgb="FFD00000"/>
          <x14:colorLast rgb="FFD00000"/>
          <x14:colorHigh rgb="FFFFFF00"/>
          <x14:colorLow rgb="FFD0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Shipra Kumar</cp:lastModifiedBy>
  <dcterms:created xsi:type="dcterms:W3CDTF">2020-03-03T02:51:49Z</dcterms:created>
  <dcterms:modified xsi:type="dcterms:W3CDTF">2024-12-05T22:19:42Z</dcterms:modified>
</cp:coreProperties>
</file>